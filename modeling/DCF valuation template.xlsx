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/ValuX/modeling/"/>
    </mc:Choice>
  </mc:AlternateContent>
  <xr:revisionPtr revIDLastSave="0" documentId="13_ncr:1_{CE1B0DB3-1DBC-C045-9BE2-2A5D6765578C}" xr6:coauthVersionLast="47" xr6:coauthVersionMax="47" xr10:uidLastSave="{00000000-0000-0000-0000-000000000000}"/>
  <bookViews>
    <workbookView xWindow="0" yWindow="740" windowWidth="28800" windowHeight="16140" xr2:uid="{CEA4A7B3-03C5-AA4D-8210-EE5C56A7CF9B}"/>
  </bookViews>
  <sheets>
    <sheet name="Input and sensitivity" sheetId="2" r:id="rId1"/>
    <sheet name="Valuation output" sheetId="1" r:id="rId2"/>
  </sheet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J9" i="1"/>
  <c r="I9" i="1"/>
  <c r="H9" i="1"/>
  <c r="G9" i="1"/>
  <c r="F9" i="1"/>
  <c r="E9" i="1"/>
  <c r="D9" i="1"/>
  <c r="C9" i="1"/>
  <c r="J2" i="2"/>
  <c r="I2" i="2" s="1"/>
  <c r="H2" i="2" s="1"/>
  <c r="G2" i="2" s="1"/>
  <c r="F2" i="2" s="1"/>
  <c r="E9" i="2"/>
  <c r="E10" i="2" s="1"/>
  <c r="E11" i="2" s="1"/>
  <c r="E12" i="2" s="1"/>
  <c r="E13" i="2" s="1"/>
  <c r="B2" i="1"/>
  <c r="B7" i="1"/>
  <c r="B12" i="1"/>
  <c r="M12" i="1"/>
  <c r="M3" i="1"/>
  <c r="L2" i="2" l="1"/>
  <c r="M2" i="2" s="1"/>
  <c r="N2" i="2" s="1"/>
  <c r="O2" i="2" s="1"/>
  <c r="P2" i="2" s="1"/>
  <c r="E7" i="2"/>
  <c r="E6" i="2" s="1"/>
  <c r="E5" i="2" s="1"/>
  <c r="E4" i="2" s="1"/>
  <c r="E3" i="2" s="1"/>
  <c r="H32" i="1"/>
  <c r="E32" i="1"/>
  <c r="C32" i="1"/>
  <c r="D32" i="1" s="1"/>
  <c r="B35" i="1"/>
  <c r="M5" i="1"/>
  <c r="D3" i="1"/>
  <c r="E3" i="1" s="1"/>
  <c r="F3" i="1" s="1"/>
  <c r="G3" i="1" s="1"/>
  <c r="H3" i="1" s="1"/>
  <c r="I3" i="1" s="1"/>
  <c r="J3" i="1" s="1"/>
  <c r="K3" i="1" s="1"/>
  <c r="L3" i="1" s="1"/>
  <c r="C3" i="1"/>
  <c r="C4" i="1" s="1"/>
  <c r="C33" i="1" s="1"/>
  <c r="M9" i="1"/>
  <c r="M7" i="1"/>
  <c r="C12" i="1"/>
  <c r="D12" i="1" s="1"/>
  <c r="B32" i="1"/>
  <c r="B8" i="1"/>
  <c r="L7" i="1"/>
  <c r="K7" i="1"/>
  <c r="J7" i="1"/>
  <c r="I7" i="1"/>
  <c r="H7" i="1"/>
  <c r="G7" i="1"/>
  <c r="F7" i="1"/>
  <c r="E7" i="1"/>
  <c r="D7" i="1"/>
  <c r="C7" i="1"/>
  <c r="B5" i="1"/>
  <c r="C2" i="1"/>
  <c r="D2" i="1" s="1"/>
  <c r="E2" i="1" s="1"/>
  <c r="F2" i="1" s="1"/>
  <c r="G2" i="1" s="1"/>
  <c r="H2" i="1" s="1"/>
  <c r="I2" i="1" s="1"/>
  <c r="J2" i="1" s="1"/>
  <c r="K2" i="1" s="1"/>
  <c r="L2" i="1" s="1"/>
  <c r="B34" i="1" l="1"/>
  <c r="B10" i="1"/>
  <c r="E12" i="1"/>
  <c r="D13" i="1"/>
  <c r="J5" i="1"/>
  <c r="F5" i="1"/>
  <c r="F32" i="1"/>
  <c r="G32" i="1" s="1"/>
  <c r="I32" i="1" s="1"/>
  <c r="J32" i="1" s="1"/>
  <c r="K32" i="1" s="1"/>
  <c r="L32" i="1" s="1"/>
  <c r="E5" i="1"/>
  <c r="I5" i="1"/>
  <c r="C5" i="1"/>
  <c r="C6" i="1" s="1"/>
  <c r="C8" i="1" s="1"/>
  <c r="C34" i="1" s="1"/>
  <c r="K5" i="1"/>
  <c r="D5" i="1"/>
  <c r="L5" i="1"/>
  <c r="G5" i="1"/>
  <c r="H5" i="1"/>
  <c r="D4" i="1"/>
  <c r="F12" i="1" l="1"/>
  <c r="E13" i="1"/>
  <c r="E4" i="1"/>
  <c r="E6" i="1" s="1"/>
  <c r="E8" i="1" s="1"/>
  <c r="D33" i="1"/>
  <c r="D6" i="1"/>
  <c r="D8" i="1" s="1"/>
  <c r="C10" i="1"/>
  <c r="C13" i="1"/>
  <c r="G12" i="1" l="1"/>
  <c r="F13" i="1"/>
  <c r="C14" i="1"/>
  <c r="D34" i="1"/>
  <c r="F4" i="1"/>
  <c r="E10" i="1"/>
  <c r="D10" i="1"/>
  <c r="H12" i="1" l="1"/>
  <c r="G13" i="1"/>
  <c r="D14" i="1"/>
  <c r="E33" i="1"/>
  <c r="G4" i="1"/>
  <c r="F6" i="1"/>
  <c r="F8" i="1" s="1"/>
  <c r="E14" i="1"/>
  <c r="I12" i="1" l="1"/>
  <c r="H13" i="1"/>
  <c r="H4" i="1"/>
  <c r="G6" i="1"/>
  <c r="G8" i="1" s="1"/>
  <c r="F10" i="1"/>
  <c r="F33" i="1"/>
  <c r="F34" i="1" s="1"/>
  <c r="E34" i="1"/>
  <c r="J12" i="1" l="1"/>
  <c r="I13" i="1"/>
  <c r="F14" i="1"/>
  <c r="G10" i="1"/>
  <c r="G33" i="1"/>
  <c r="G34" i="1" s="1"/>
  <c r="H6" i="1"/>
  <c r="H8" i="1" s="1"/>
  <c r="I4" i="1"/>
  <c r="K12" i="1" l="1"/>
  <c r="J13" i="1"/>
  <c r="G14" i="1"/>
  <c r="H33" i="1"/>
  <c r="H34" i="1" s="1"/>
  <c r="I6" i="1"/>
  <c r="I8" i="1" s="1"/>
  <c r="J4" i="1"/>
  <c r="H10" i="1"/>
  <c r="L12" i="1" l="1"/>
  <c r="L13" i="1" s="1"/>
  <c r="K13" i="1"/>
  <c r="I33" i="1"/>
  <c r="I34" i="1" s="1"/>
  <c r="J6" i="1"/>
  <c r="J8" i="1" s="1"/>
  <c r="K4" i="1"/>
  <c r="I10" i="1"/>
  <c r="J33" i="1" l="1"/>
  <c r="J34" i="1" s="1"/>
  <c r="K6" i="1"/>
  <c r="K8" i="1" s="1"/>
  <c r="L4" i="1"/>
  <c r="M4" i="1" s="1"/>
  <c r="J10" i="1"/>
  <c r="M6" i="1" l="1"/>
  <c r="M8" i="1" s="1"/>
  <c r="K33" i="1"/>
  <c r="K34" i="1" s="1"/>
  <c r="K10" i="1"/>
  <c r="L6" i="1"/>
  <c r="L8" i="1" s="1"/>
  <c r="M10" i="1" l="1"/>
  <c r="L33" i="1"/>
  <c r="L34" i="1" s="1"/>
  <c r="L10" i="1"/>
  <c r="M14" i="1" l="1"/>
  <c r="B16" i="1"/>
  <c r="B17" i="1"/>
  <c r="B18" i="1" l="1"/>
  <c r="H14" i="1"/>
  <c r="J14" i="1"/>
  <c r="L14" i="1"/>
  <c r="B19" i="1" l="1"/>
  <c r="K14" i="1"/>
  <c r="I14" i="1"/>
  <c r="B20" i="1" l="1"/>
  <c r="B21" i="1" s="1"/>
  <c r="B24" i="1" l="1"/>
  <c r="B27" i="1" s="1"/>
  <c r="C20" i="1"/>
  <c r="C19" i="1"/>
  <c r="M34" i="1"/>
  <c r="B29" i="1" l="1"/>
  <c r="E2" i="2" s="1"/>
</calcChain>
</file>

<file path=xl/sharedStrings.xml><?xml version="1.0" encoding="utf-8"?>
<sst xmlns="http://schemas.openxmlformats.org/spreadsheetml/2006/main" count="56" uniqueCount="55">
  <si>
    <t>Year</t>
    <phoneticPr fontId="2" type="noConversion"/>
  </si>
  <si>
    <t>[Company Name]</t>
    <phoneticPr fontId="2" type="noConversion"/>
  </si>
  <si>
    <t>Revenue growth rate</t>
    <phoneticPr fontId="2" type="noConversion"/>
  </si>
  <si>
    <t>Revenue</t>
    <phoneticPr fontId="2" type="noConversion"/>
  </si>
  <si>
    <t>EBIT(1-t)</t>
    <phoneticPr fontId="2" type="noConversion"/>
  </si>
  <si>
    <t>Free cash flow (FCFF)</t>
    <phoneticPr fontId="2" type="noConversion"/>
  </si>
  <si>
    <t>WACC</t>
    <phoneticPr fontId="2" type="noConversion"/>
  </si>
  <si>
    <t>Discount factor</t>
    <phoneticPr fontId="2" type="noConversion"/>
  </si>
  <si>
    <t>Terminal cash flow</t>
    <phoneticPr fontId="2" type="noConversion"/>
  </si>
  <si>
    <t>Terminal WACC</t>
    <phoneticPr fontId="2" type="noConversion"/>
  </si>
  <si>
    <t>Terminal value</t>
    <phoneticPr fontId="2" type="noConversion"/>
  </si>
  <si>
    <t>PV (Terminal value)</t>
    <phoneticPr fontId="2" type="noConversion"/>
  </si>
  <si>
    <t>Equity value</t>
    <phoneticPr fontId="2" type="noConversion"/>
  </si>
  <si>
    <t>Price per share</t>
    <phoneticPr fontId="2" type="noConversion"/>
  </si>
  <si>
    <t>Implied variables</t>
    <phoneticPr fontId="2" type="noConversion"/>
  </si>
  <si>
    <t>Invested capital</t>
    <phoneticPr fontId="2" type="noConversion"/>
  </si>
  <si>
    <t>ROIC</t>
    <phoneticPr fontId="2" type="noConversion"/>
  </si>
  <si>
    <t>EBIT margin</t>
    <phoneticPr fontId="2" type="noConversion"/>
  </si>
  <si>
    <t>Base year</t>
    <phoneticPr fontId="2" type="noConversion"/>
  </si>
  <si>
    <t>PV total</t>
    <phoneticPr fontId="2" type="noConversion"/>
  </si>
  <si>
    <t>Enterprise value</t>
    <phoneticPr fontId="2" type="noConversion"/>
  </si>
  <si>
    <t>PV (Forecast period)</t>
    <phoneticPr fontId="2" type="noConversion"/>
  </si>
  <si>
    <t>+ Cash</t>
    <phoneticPr fontId="2" type="noConversion"/>
  </si>
  <si>
    <t>+ Investments</t>
    <phoneticPr fontId="2" type="noConversion"/>
  </si>
  <si>
    <t>- Debt</t>
    <phoneticPr fontId="2" type="noConversion"/>
  </si>
  <si>
    <t>- Minority</t>
    <phoneticPr fontId="2" type="noConversion"/>
  </si>
  <si>
    <t>- Reinvestment</t>
    <phoneticPr fontId="2" type="noConversion"/>
  </si>
  <si>
    <t>/ Number of shares</t>
    <phoneticPr fontId="2" type="noConversion"/>
  </si>
  <si>
    <t>Tax to EBIT</t>
    <phoneticPr fontId="2" type="noConversion"/>
  </si>
  <si>
    <t>Years of convergence -EBIT margin</t>
    <phoneticPr fontId="2" type="noConversion"/>
  </si>
  <si>
    <t>Terminal year</t>
    <phoneticPr fontId="2" type="noConversion"/>
  </si>
  <si>
    <t>PV (CF over next 10 years)</t>
    <phoneticPr fontId="2" type="noConversion"/>
  </si>
  <si>
    <t>Revenue to capital ratio</t>
    <phoneticPr fontId="2" type="noConversion"/>
  </si>
  <si>
    <t>Base year for valuation</t>
  </si>
  <si>
    <t>Revenue to capital ratio (next 2 years)</t>
  </si>
  <si>
    <t>Revenue to capital ratio (FY3-5)</t>
  </si>
  <si>
    <t>Revenue to capital ratio (FY5-10)</t>
    <phoneticPr fontId="2" type="noConversion"/>
  </si>
  <si>
    <t>Revenue growth</t>
    <phoneticPr fontId="2" type="noConversion"/>
  </si>
  <si>
    <t>Return on new invested capital for the long term</t>
    <phoneticPr fontId="2" type="noConversion"/>
  </si>
  <si>
    <t>Revenue growth for terminal year (equal to risk-free rate)</t>
    <phoneticPr fontId="2" type="noConversion"/>
  </si>
  <si>
    <t>Sensitivity Analysis</t>
    <phoneticPr fontId="2" type="noConversion"/>
  </si>
  <si>
    <t>Effective tax rate</t>
    <phoneticPr fontId="2" type="noConversion"/>
  </si>
  <si>
    <t>Valuation drivers</t>
    <phoneticPr fontId="2" type="noConversion"/>
  </si>
  <si>
    <t>Risk free rate</t>
    <phoneticPr fontId="2" type="noConversion"/>
  </si>
  <si>
    <t>WACC parameters</t>
    <phoneticPr fontId="2" type="noConversion"/>
  </si>
  <si>
    <t>Cost of debt</t>
    <phoneticPr fontId="2" type="noConversion"/>
  </si>
  <si>
    <t>Total equity risk premium</t>
    <phoneticPr fontId="2" type="noConversion"/>
  </si>
  <si>
    <t>Beta</t>
    <phoneticPr fontId="2" type="noConversion"/>
  </si>
  <si>
    <t>Target EBIT margin for long term</t>
    <phoneticPr fontId="2" type="noConversion"/>
  </si>
  <si>
    <t>Years to reach target EBIT margin</t>
    <phoneticPr fontId="2" type="noConversion"/>
  </si>
  <si>
    <t>Revenue growth for forecast year 1</t>
    <phoneticPr fontId="2" type="noConversion"/>
  </si>
  <si>
    <t>Compound annual revenue growth rate for forecast year 2-5</t>
    <phoneticPr fontId="2" type="noConversion"/>
  </si>
  <si>
    <t>WACC for forecast year 1-5</t>
    <phoneticPr fontId="2" type="noConversion"/>
  </si>
  <si>
    <t>Operating Profit (EBIT)</t>
    <phoneticPr fontId="2" type="noConversion"/>
  </si>
  <si>
    <t>Operating Profit (EBIT) margin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</si>
</sst>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0.0%"/>
    <numFmt numFmtId="177" formatCode="_(* #,##0.000_);_(* \(#,##0.000\);_(* &quot;-&quot;??_);_(@_)"/>
    <numFmt numFmtId="178" formatCode="_(* #,##0_);_(* \(#,##0\);_(* &quot;-&quot;??_);_(@_)"/>
    <numFmt numFmtId="179" formatCode="_(* #,##0.0_);_(* \(#,##0.0\);_(* &quot;-&quot;??_);_(@_)"/>
  </numFmts>
  <fonts count="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name val="等线"/>
      <family val="2"/>
      <charset val="134"/>
      <scheme val="minor"/>
    </font>
    <font>
      <i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5"/>
      <color theme="1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76" fontId="0" fillId="0" borderId="0" xfId="2" applyNumberFormat="1" applyFont="1">
      <alignment vertical="center"/>
    </xf>
    <xf numFmtId="177" fontId="0" fillId="0" borderId="0" xfId="1" applyNumberFormat="1" applyFont="1">
      <alignment vertical="center"/>
    </xf>
    <xf numFmtId="10" fontId="0" fillId="0" borderId="0" xfId="2" applyNumberFormat="1" applyFont="1">
      <alignment vertical="center"/>
    </xf>
    <xf numFmtId="178" fontId="0" fillId="0" borderId="0" xfId="1" applyNumberFormat="1" applyFont="1">
      <alignment vertical="center"/>
    </xf>
    <xf numFmtId="178" fontId="0" fillId="0" borderId="0" xfId="1" quotePrefix="1" applyNumberFormat="1" applyFont="1">
      <alignment vertical="center"/>
    </xf>
    <xf numFmtId="178" fontId="0" fillId="2" borderId="0" xfId="1" applyNumberFormat="1" applyFont="1" applyFill="1">
      <alignment vertical="center"/>
    </xf>
    <xf numFmtId="0" fontId="3" fillId="2" borderId="0" xfId="1" applyNumberFormat="1" applyFont="1" applyFill="1">
      <alignment vertical="center"/>
    </xf>
    <xf numFmtId="0" fontId="0" fillId="0" borderId="0" xfId="1" applyNumberFormat="1" applyFont="1">
      <alignment vertical="center"/>
    </xf>
    <xf numFmtId="43" fontId="0" fillId="3" borderId="0" xfId="1" applyFont="1" applyFill="1">
      <alignment vertical="center"/>
    </xf>
    <xf numFmtId="176" fontId="0" fillId="0" borderId="0" xfId="2" applyNumberFormat="1" applyFont="1" applyFill="1">
      <alignment vertical="center"/>
    </xf>
    <xf numFmtId="178" fontId="0" fillId="0" borderId="0" xfId="1" applyNumberFormat="1" applyFont="1" applyFill="1">
      <alignment vertical="center"/>
    </xf>
    <xf numFmtId="176" fontId="4" fillId="0" borderId="0" xfId="2" applyNumberFormat="1" applyFont="1" applyFill="1">
      <alignment vertical="center"/>
    </xf>
    <xf numFmtId="10" fontId="0" fillId="0" borderId="0" xfId="2" applyNumberFormat="1" applyFont="1" applyFill="1">
      <alignment vertical="center"/>
    </xf>
    <xf numFmtId="178" fontId="5" fillId="0" borderId="0" xfId="1" applyNumberFormat="1" applyFont="1" applyAlignment="1">
      <alignment horizontal="center" vertical="center"/>
    </xf>
    <xf numFmtId="178" fontId="5" fillId="0" borderId="0" xfId="1" applyNumberFormat="1" applyFont="1">
      <alignment vertical="center"/>
    </xf>
    <xf numFmtId="179" fontId="0" fillId="0" borderId="0" xfId="1" applyNumberFormat="1" applyFont="1" applyFill="1">
      <alignment vertical="center"/>
    </xf>
    <xf numFmtId="178" fontId="5" fillId="0" borderId="0" xfId="1" applyNumberFormat="1" applyFont="1" applyAlignment="1">
      <alignment horizontal="right" vertical="center"/>
    </xf>
    <xf numFmtId="0" fontId="3" fillId="2" borderId="0" xfId="1" applyNumberFormat="1" applyFont="1" applyFill="1" applyAlignment="1">
      <alignment horizontal="right" vertical="center"/>
    </xf>
    <xf numFmtId="176" fontId="0" fillId="0" borderId="0" xfId="2" applyNumberFormat="1" applyFont="1" applyFill="1" applyBorder="1">
      <alignment vertical="center"/>
    </xf>
    <xf numFmtId="178" fontId="0" fillId="0" borderId="0" xfId="1" applyNumberFormat="1" applyFont="1" applyFill="1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2" applyFont="1">
      <alignment vertical="center"/>
    </xf>
    <xf numFmtId="9" fontId="3" fillId="0" borderId="1" xfId="2" applyFont="1" applyBorder="1">
      <alignment vertical="center"/>
    </xf>
    <xf numFmtId="9" fontId="3" fillId="0" borderId="2" xfId="2" applyFont="1" applyBorder="1">
      <alignment vertical="center"/>
    </xf>
    <xf numFmtId="0" fontId="3" fillId="0" borderId="1" xfId="0" applyFont="1" applyBorder="1">
      <alignment vertical="center"/>
    </xf>
    <xf numFmtId="43" fontId="0" fillId="0" borderId="0" xfId="1" applyFont="1" applyFill="1">
      <alignment vertical="center"/>
    </xf>
    <xf numFmtId="0" fontId="0" fillId="0" borderId="0" xfId="0" applyAlignment="1">
      <alignment vertical="center" wrapText="1"/>
    </xf>
    <xf numFmtId="9" fontId="3" fillId="0" borderId="3" xfId="2" applyFont="1" applyBorder="1">
      <alignment vertical="center"/>
    </xf>
    <xf numFmtId="43" fontId="0" fillId="0" borderId="0" xfId="1" applyFont="1" applyFill="1" applyBorder="1">
      <alignment vertical="center"/>
    </xf>
    <xf numFmtId="43" fontId="0" fillId="2" borderId="0" xfId="1" applyFont="1" applyFill="1" applyBorder="1">
      <alignment vertical="center"/>
    </xf>
    <xf numFmtId="43" fontId="0" fillId="0" borderId="1" xfId="1" applyFont="1" applyFill="1" applyBorder="1">
      <alignment vertical="center"/>
    </xf>
    <xf numFmtId="43" fontId="0" fillId="2" borderId="1" xfId="1" applyFont="1" applyFill="1" applyBorder="1">
      <alignment vertical="center"/>
    </xf>
    <xf numFmtId="43" fontId="7" fillId="6" borderId="0" xfId="0" applyNumberFormat="1" applyFont="1" applyFill="1">
      <alignment vertical="center"/>
    </xf>
    <xf numFmtId="9" fontId="0" fillId="0" borderId="0" xfId="2" applyFont="1" applyFill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B2E6-D3A4-164B-84B3-8605408ABF49}">
  <dimension ref="A1:R21"/>
  <sheetViews>
    <sheetView showGridLines="0" tabSelected="1" zoomScaleNormal="100" workbookViewId="0">
      <pane xSplit="5" ySplit="2" topLeftCell="F3" activePane="bottomRight" state="frozen"/>
      <selection pane="topRight" activeCell="G1" sqref="G1"/>
      <selection pane="bottomLeft" activeCell="A3" sqref="A3"/>
      <selection pane="bottomRight" activeCell="E2" sqref="E2"/>
    </sheetView>
  </sheetViews>
  <sheetFormatPr baseColWidth="10" defaultRowHeight="16"/>
  <cols>
    <col min="1" max="1" width="53.33203125" customWidth="1"/>
    <col min="3" max="3" width="3" customWidth="1"/>
    <col min="4" max="4" width="10.33203125" customWidth="1"/>
    <col min="5" max="5" width="12.33203125" customWidth="1"/>
  </cols>
  <sheetData>
    <row r="1" spans="1:18">
      <c r="A1" s="27" t="s">
        <v>42</v>
      </c>
      <c r="D1" s="21" t="s">
        <v>40</v>
      </c>
      <c r="E1" s="21"/>
      <c r="F1" s="39" t="s">
        <v>17</v>
      </c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8" ht="19">
      <c r="A2" s="22" t="s">
        <v>33</v>
      </c>
      <c r="B2">
        <v>2024</v>
      </c>
      <c r="E2" s="35" t="e">
        <f>'Valuation output'!B29</f>
        <v>#DIV/0!</v>
      </c>
      <c r="F2" s="25">
        <f t="shared" ref="F2:I2" si="0">G2-1%</f>
        <v>0.39999999999999997</v>
      </c>
      <c r="G2" s="25">
        <f t="shared" si="0"/>
        <v>0.41</v>
      </c>
      <c r="H2" s="25">
        <f t="shared" si="0"/>
        <v>0.42</v>
      </c>
      <c r="I2" s="25">
        <f t="shared" si="0"/>
        <v>0.43</v>
      </c>
      <c r="J2" s="25">
        <f>K2-1%</f>
        <v>0.44</v>
      </c>
      <c r="K2" s="25">
        <v>0.45</v>
      </c>
      <c r="L2" s="25">
        <f t="shared" ref="L2:P2" si="1">K2+1%</f>
        <v>0.46</v>
      </c>
      <c r="M2" s="25">
        <f t="shared" si="1"/>
        <v>0.47000000000000003</v>
      </c>
      <c r="N2" s="25">
        <f t="shared" si="1"/>
        <v>0.48000000000000004</v>
      </c>
      <c r="O2" s="25">
        <f t="shared" si="1"/>
        <v>0.49000000000000005</v>
      </c>
      <c r="P2" s="25">
        <f t="shared" si="1"/>
        <v>0.5</v>
      </c>
      <c r="Q2" s="25"/>
      <c r="R2" s="25"/>
    </row>
    <row r="3" spans="1:18" ht="16" customHeight="1">
      <c r="A3" t="s">
        <v>50</v>
      </c>
      <c r="B3" s="24"/>
      <c r="D3" s="37" t="s">
        <v>37</v>
      </c>
      <c r="E3" s="26">
        <f>E4-1%</f>
        <v>0.03</v>
      </c>
      <c r="F3" s="31" t="e">
        <f t="dataTable" ref="F3:P13" dt2D="1" dtr="1" r1="B6" r2="B4"/>
        <v>#DIV/0!</v>
      </c>
      <c r="G3" s="31" t="e">
        <v>#DIV/0!</v>
      </c>
      <c r="H3" s="31" t="e">
        <v>#DIV/0!</v>
      </c>
      <c r="I3" s="31" t="e">
        <v>#DIV/0!</v>
      </c>
      <c r="J3" s="31" t="e">
        <v>#DIV/0!</v>
      </c>
      <c r="K3" s="32" t="e">
        <v>#DIV/0!</v>
      </c>
      <c r="L3" s="31" t="e">
        <v>#DIV/0!</v>
      </c>
      <c r="M3" s="31" t="e">
        <v>#DIV/0!</v>
      </c>
      <c r="N3" s="31" t="e">
        <v>#DIV/0!</v>
      </c>
      <c r="O3" s="31" t="e">
        <v>#DIV/0!</v>
      </c>
      <c r="P3" s="31" t="e">
        <v>#DIV/0!</v>
      </c>
      <c r="Q3" s="28"/>
      <c r="R3" s="28"/>
    </row>
    <row r="4" spans="1:18">
      <c r="A4" t="s">
        <v>51</v>
      </c>
      <c r="B4" s="36"/>
      <c r="D4" s="37"/>
      <c r="E4" s="26">
        <f>E5-1%</f>
        <v>0.04</v>
      </c>
      <c r="F4" s="31" t="e">
        <v>#DIV/0!</v>
      </c>
      <c r="G4" s="31" t="e">
        <v>#DIV/0!</v>
      </c>
      <c r="H4" s="31" t="e">
        <v>#DIV/0!</v>
      </c>
      <c r="I4" s="31" t="e">
        <v>#DIV/0!</v>
      </c>
      <c r="J4" s="31" t="e">
        <v>#DIV/0!</v>
      </c>
      <c r="K4" s="32" t="e">
        <v>#DIV/0!</v>
      </c>
      <c r="L4" s="31" t="e">
        <v>#DIV/0!</v>
      </c>
      <c r="M4" s="31" t="e">
        <v>#DIV/0!</v>
      </c>
      <c r="N4" s="31" t="e">
        <v>#DIV/0!</v>
      </c>
      <c r="O4" s="31" t="e">
        <v>#DIV/0!</v>
      </c>
      <c r="P4" s="31" t="e">
        <v>#DIV/0!</v>
      </c>
      <c r="Q4" s="28"/>
      <c r="R4" s="28"/>
    </row>
    <row r="5" spans="1:18">
      <c r="A5" t="s">
        <v>39</v>
      </c>
      <c r="B5" s="36"/>
      <c r="D5" s="37"/>
      <c r="E5" s="26">
        <f>E6-1%</f>
        <v>0.05</v>
      </c>
      <c r="F5" s="31" t="e">
        <v>#DIV/0!</v>
      </c>
      <c r="G5" s="31" t="e">
        <v>#DIV/0!</v>
      </c>
      <c r="H5" s="31" t="e">
        <v>#DIV/0!</v>
      </c>
      <c r="I5" s="31" t="e">
        <v>#DIV/0!</v>
      </c>
      <c r="J5" s="31" t="e">
        <v>#DIV/0!</v>
      </c>
      <c r="K5" s="32" t="e">
        <v>#DIV/0!</v>
      </c>
      <c r="L5" s="31" t="e">
        <v>#DIV/0!</v>
      </c>
      <c r="M5" s="31" t="e">
        <v>#DIV/0!</v>
      </c>
      <c r="N5" s="31" t="e">
        <v>#DIV/0!</v>
      </c>
      <c r="O5" s="31" t="e">
        <v>#DIV/0!</v>
      </c>
      <c r="P5" s="31" t="e">
        <v>#DIV/0!</v>
      </c>
      <c r="Q5" s="28"/>
      <c r="R5" s="28"/>
    </row>
    <row r="6" spans="1:18">
      <c r="A6" t="s">
        <v>48</v>
      </c>
      <c r="B6" s="36"/>
      <c r="D6" s="37"/>
      <c r="E6" s="26">
        <f>E7-1%</f>
        <v>6.0000000000000005E-2</v>
      </c>
      <c r="F6" s="31" t="e">
        <v>#DIV/0!</v>
      </c>
      <c r="G6" s="31" t="e">
        <v>#DIV/0!</v>
      </c>
      <c r="H6" s="31" t="e">
        <v>#DIV/0!</v>
      </c>
      <c r="I6" s="31" t="e">
        <v>#DIV/0!</v>
      </c>
      <c r="J6" s="31" t="e">
        <v>#DIV/0!</v>
      </c>
      <c r="K6" s="32" t="e">
        <v>#DIV/0!</v>
      </c>
      <c r="L6" s="31" t="e">
        <v>#DIV/0!</v>
      </c>
      <c r="M6" s="31" t="e">
        <v>#DIV/0!</v>
      </c>
      <c r="N6" s="31" t="e">
        <v>#DIV/0!</v>
      </c>
      <c r="O6" s="31" t="e">
        <v>#DIV/0!</v>
      </c>
      <c r="P6" s="31" t="e">
        <v>#DIV/0!</v>
      </c>
      <c r="Q6" s="28"/>
      <c r="R6" s="28"/>
    </row>
    <row r="7" spans="1:18">
      <c r="A7" t="s">
        <v>49</v>
      </c>
      <c r="D7" s="37"/>
      <c r="E7" s="26">
        <f>E8-1%</f>
        <v>7.0000000000000007E-2</v>
      </c>
      <c r="F7" s="31" t="e">
        <v>#DIV/0!</v>
      </c>
      <c r="G7" s="31" t="e">
        <v>#DIV/0!</v>
      </c>
      <c r="H7" s="31" t="e">
        <v>#DIV/0!</v>
      </c>
      <c r="I7" s="31" t="e">
        <v>#DIV/0!</v>
      </c>
      <c r="J7" s="31" t="e">
        <v>#DIV/0!</v>
      </c>
      <c r="K7" s="32" t="e">
        <v>#DIV/0!</v>
      </c>
      <c r="L7" s="31" t="e">
        <v>#DIV/0!</v>
      </c>
      <c r="M7" s="31" t="e">
        <v>#DIV/0!</v>
      </c>
      <c r="N7" s="31" t="e">
        <v>#DIV/0!</v>
      </c>
      <c r="O7" s="31" t="e">
        <v>#DIV/0!</v>
      </c>
      <c r="P7" s="31" t="e">
        <v>#DIV/0!</v>
      </c>
      <c r="Q7" s="28"/>
      <c r="R7" s="28"/>
    </row>
    <row r="8" spans="1:18">
      <c r="A8" t="s">
        <v>34</v>
      </c>
      <c r="D8" s="37"/>
      <c r="E8" s="26">
        <v>0.08</v>
      </c>
      <c r="F8" s="32" t="e">
        <v>#DIV/0!</v>
      </c>
      <c r="G8" s="32" t="e">
        <v>#DIV/0!</v>
      </c>
      <c r="H8" s="32" t="e">
        <v>#DIV/0!</v>
      </c>
      <c r="I8" s="32" t="e">
        <v>#DIV/0!</v>
      </c>
      <c r="J8" s="32" t="e">
        <v>#DIV/0!</v>
      </c>
      <c r="K8" s="32" t="e">
        <v>#DIV/0!</v>
      </c>
      <c r="L8" s="32" t="e">
        <v>#DIV/0!</v>
      </c>
      <c r="M8" s="32" t="e">
        <v>#DIV/0!</v>
      </c>
      <c r="N8" s="32" t="e">
        <v>#DIV/0!</v>
      </c>
      <c r="O8" s="32" t="e">
        <v>#DIV/0!</v>
      </c>
      <c r="P8" s="32" t="e">
        <v>#DIV/0!</v>
      </c>
      <c r="Q8" s="28"/>
      <c r="R8" s="28"/>
    </row>
    <row r="9" spans="1:18">
      <c r="A9" t="s">
        <v>35</v>
      </c>
      <c r="D9" s="37"/>
      <c r="E9" s="26">
        <f t="shared" ref="E9:E13" si="2">E8+1%</f>
        <v>0.09</v>
      </c>
      <c r="F9" s="31" t="e">
        <v>#DIV/0!</v>
      </c>
      <c r="G9" s="31" t="e">
        <v>#DIV/0!</v>
      </c>
      <c r="H9" s="31" t="e">
        <v>#DIV/0!</v>
      </c>
      <c r="I9" s="31" t="e">
        <v>#DIV/0!</v>
      </c>
      <c r="J9" s="31" t="e">
        <v>#DIV/0!</v>
      </c>
      <c r="K9" s="32" t="e">
        <v>#DIV/0!</v>
      </c>
      <c r="L9" s="31" t="e">
        <v>#DIV/0!</v>
      </c>
      <c r="M9" s="31" t="e">
        <v>#DIV/0!</v>
      </c>
      <c r="N9" s="31" t="e">
        <v>#DIV/0!</v>
      </c>
      <c r="O9" s="31" t="e">
        <v>#DIV/0!</v>
      </c>
      <c r="P9" s="31" t="e">
        <v>#DIV/0!</v>
      </c>
      <c r="Q9" s="28"/>
      <c r="R9" s="28"/>
    </row>
    <row r="10" spans="1:18">
      <c r="A10" t="s">
        <v>36</v>
      </c>
      <c r="D10" s="37"/>
      <c r="E10" s="26">
        <f t="shared" si="2"/>
        <v>9.9999999999999992E-2</v>
      </c>
      <c r="F10" s="31" t="e">
        <v>#DIV/0!</v>
      </c>
      <c r="G10" s="31" t="e">
        <v>#DIV/0!</v>
      </c>
      <c r="H10" s="31" t="e">
        <v>#DIV/0!</v>
      </c>
      <c r="I10" s="31" t="e">
        <v>#DIV/0!</v>
      </c>
      <c r="J10" s="31" t="e">
        <v>#DIV/0!</v>
      </c>
      <c r="K10" s="32" t="e">
        <v>#DIV/0!</v>
      </c>
      <c r="L10" s="31" t="e">
        <v>#DIV/0!</v>
      </c>
      <c r="M10" s="31" t="e">
        <v>#DIV/0!</v>
      </c>
      <c r="N10" s="31" t="e">
        <v>#DIV/0!</v>
      </c>
      <c r="O10" s="31" t="e">
        <v>#DIV/0!</v>
      </c>
      <c r="P10" s="31" t="e">
        <v>#DIV/0!</v>
      </c>
      <c r="Q10" s="28"/>
      <c r="R10" s="28"/>
    </row>
    <row r="11" spans="1:18">
      <c r="A11" t="s">
        <v>52</v>
      </c>
      <c r="B11" s="24"/>
      <c r="D11" s="37"/>
      <c r="E11" s="26">
        <f t="shared" si="2"/>
        <v>0.10999999999999999</v>
      </c>
      <c r="F11" s="31" t="e">
        <v>#DIV/0!</v>
      </c>
      <c r="G11" s="31" t="e">
        <v>#DIV/0!</v>
      </c>
      <c r="H11" s="31" t="e">
        <v>#DIV/0!</v>
      </c>
      <c r="I11" s="31" t="e">
        <v>#DIV/0!</v>
      </c>
      <c r="J11" s="31" t="e">
        <v>#DIV/0!</v>
      </c>
      <c r="K11" s="32" t="e">
        <v>#DIV/0!</v>
      </c>
      <c r="L11" s="31" t="e">
        <v>#DIV/0!</v>
      </c>
      <c r="M11" s="31" t="e">
        <v>#DIV/0!</v>
      </c>
      <c r="N11" s="31" t="e">
        <v>#DIV/0!</v>
      </c>
      <c r="O11" s="31" t="e">
        <v>#DIV/0!</v>
      </c>
      <c r="P11" s="31" t="e">
        <v>#DIV/0!</v>
      </c>
      <c r="Q11" s="28"/>
      <c r="R11" s="28"/>
    </row>
    <row r="12" spans="1:18">
      <c r="A12" t="s">
        <v>9</v>
      </c>
      <c r="B12" s="24"/>
      <c r="D12" s="37"/>
      <c r="E12" s="26">
        <f t="shared" si="2"/>
        <v>0.11999999999999998</v>
      </c>
      <c r="F12" s="31" t="e">
        <v>#DIV/0!</v>
      </c>
      <c r="G12" s="31" t="e">
        <v>#DIV/0!</v>
      </c>
      <c r="H12" s="31" t="e">
        <v>#DIV/0!</v>
      </c>
      <c r="I12" s="31" t="e">
        <v>#DIV/0!</v>
      </c>
      <c r="J12" s="31" t="e">
        <v>#DIV/0!</v>
      </c>
      <c r="K12" s="32" t="e">
        <v>#DIV/0!</v>
      </c>
      <c r="L12" s="31" t="e">
        <v>#DIV/0!</v>
      </c>
      <c r="M12" s="31" t="e">
        <v>#DIV/0!</v>
      </c>
      <c r="N12" s="31" t="e">
        <v>#DIV/0!</v>
      </c>
      <c r="O12" s="31" t="e">
        <v>#DIV/0!</v>
      </c>
      <c r="P12" s="31" t="e">
        <v>#DIV/0!</v>
      </c>
      <c r="Q12" s="28"/>
      <c r="R12" s="28"/>
    </row>
    <row r="13" spans="1:18">
      <c r="A13" t="s">
        <v>38</v>
      </c>
      <c r="B13" s="23"/>
      <c r="D13" s="38"/>
      <c r="E13" s="30">
        <f t="shared" si="2"/>
        <v>0.12999999999999998</v>
      </c>
      <c r="F13" s="33" t="e">
        <v>#DIV/0!</v>
      </c>
      <c r="G13" s="33" t="e">
        <v>#DIV/0!</v>
      </c>
      <c r="H13" s="33" t="e">
        <v>#DIV/0!</v>
      </c>
      <c r="I13" s="33" t="e">
        <v>#DIV/0!</v>
      </c>
      <c r="J13" s="33" t="e">
        <v>#DIV/0!</v>
      </c>
      <c r="K13" s="34" t="e">
        <v>#DIV/0!</v>
      </c>
      <c r="L13" s="33" t="e">
        <v>#DIV/0!</v>
      </c>
      <c r="M13" s="33" t="e">
        <v>#DIV/0!</v>
      </c>
      <c r="N13" s="33" t="e">
        <v>#DIV/0!</v>
      </c>
      <c r="O13" s="33" t="e">
        <v>#DIV/0!</v>
      </c>
      <c r="P13" s="33" t="e">
        <v>#DIV/0!</v>
      </c>
      <c r="Q13" s="28"/>
      <c r="R13" s="28"/>
    </row>
    <row r="14" spans="1:18">
      <c r="A14" t="s">
        <v>41</v>
      </c>
      <c r="B14" s="24"/>
      <c r="D14" s="29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1:18">
      <c r="D15" s="29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>
      <c r="A16" s="21" t="s">
        <v>44</v>
      </c>
      <c r="E16" s="24"/>
    </row>
    <row r="17" spans="1:5">
      <c r="A17" t="s">
        <v>43</v>
      </c>
      <c r="B17" s="1"/>
      <c r="E17" s="24"/>
    </row>
    <row r="18" spans="1:5">
      <c r="A18" t="s">
        <v>45</v>
      </c>
      <c r="B18" s="1"/>
      <c r="E18" s="24"/>
    </row>
    <row r="19" spans="1:5">
      <c r="A19" t="s">
        <v>46</v>
      </c>
      <c r="B19" s="1"/>
      <c r="E19" s="24"/>
    </row>
    <row r="20" spans="1:5">
      <c r="A20" t="s">
        <v>47</v>
      </c>
      <c r="E20" s="24"/>
    </row>
    <row r="21" spans="1:5">
      <c r="A21" s="21"/>
    </row>
  </sheetData>
  <mergeCells count="2">
    <mergeCell ref="D3:D13"/>
    <mergeCell ref="F1:P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044B-F1AF-D741-A0C9-4B9A9E62C135}">
  <dimension ref="A1:M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baseColWidth="10" defaultRowHeight="16"/>
  <cols>
    <col min="1" max="1" width="33.1640625" style="4" customWidth="1"/>
    <col min="2" max="13" width="18.83203125" style="4" customWidth="1"/>
    <col min="14" max="16384" width="10.83203125" style="4"/>
  </cols>
  <sheetData>
    <row r="1" spans="1:13">
      <c r="A1" s="4" t="s">
        <v>1</v>
      </c>
      <c r="B1" s="14" t="s">
        <v>18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  <c r="K1" s="15">
        <v>9</v>
      </c>
      <c r="L1" s="15">
        <v>10</v>
      </c>
      <c r="M1" s="17" t="s">
        <v>30</v>
      </c>
    </row>
    <row r="2" spans="1:13" s="8" customFormat="1">
      <c r="A2" s="7" t="s">
        <v>0</v>
      </c>
      <c r="B2" s="7">
        <f>'Input and sensitivity'!B2</f>
        <v>2024</v>
      </c>
      <c r="C2" s="7">
        <f>B2+1</f>
        <v>2025</v>
      </c>
      <c r="D2" s="7">
        <f t="shared" ref="D2:L2" si="0">C2+1</f>
        <v>2026</v>
      </c>
      <c r="E2" s="7">
        <f t="shared" si="0"/>
        <v>2027</v>
      </c>
      <c r="F2" s="7">
        <f t="shared" si="0"/>
        <v>2028</v>
      </c>
      <c r="G2" s="7">
        <f t="shared" si="0"/>
        <v>2029</v>
      </c>
      <c r="H2" s="7">
        <f t="shared" si="0"/>
        <v>2030</v>
      </c>
      <c r="I2" s="7">
        <f t="shared" si="0"/>
        <v>2031</v>
      </c>
      <c r="J2" s="7">
        <f t="shared" si="0"/>
        <v>2032</v>
      </c>
      <c r="K2" s="7">
        <f t="shared" si="0"/>
        <v>2033</v>
      </c>
      <c r="L2" s="7">
        <f t="shared" si="0"/>
        <v>2034</v>
      </c>
      <c r="M2" s="18"/>
    </row>
    <row r="3" spans="1:13" s="1" customFormat="1">
      <c r="A3" s="4" t="s">
        <v>2</v>
      </c>
      <c r="B3" s="10"/>
      <c r="C3" s="10">
        <f>'Input and sensitivity'!B3</f>
        <v>0</v>
      </c>
      <c r="D3" s="10">
        <f>'Input and sensitivity'!B4</f>
        <v>0</v>
      </c>
      <c r="E3" s="10">
        <f>D3</f>
        <v>0</v>
      </c>
      <c r="F3" s="10">
        <f>E3</f>
        <v>0</v>
      </c>
      <c r="G3" s="10">
        <f>F3</f>
        <v>0</v>
      </c>
      <c r="H3" s="10">
        <f>G3-($G$3-$M$3)/5</f>
        <v>0</v>
      </c>
      <c r="I3" s="10">
        <f>H3-($G$3-$M$3)/5</f>
        <v>0</v>
      </c>
      <c r="J3" s="10">
        <f>I3-($G$3-$M$3)/5</f>
        <v>0</v>
      </c>
      <c r="K3" s="10">
        <f>J3-($G$3-$M$3)/5</f>
        <v>0</v>
      </c>
      <c r="L3" s="10">
        <f>K3-($G$3-$M$3)/5</f>
        <v>0</v>
      </c>
      <c r="M3" s="10">
        <f>'Input and sensitivity'!B5</f>
        <v>0</v>
      </c>
    </row>
    <row r="4" spans="1:13">
      <c r="A4" s="4" t="s">
        <v>3</v>
      </c>
      <c r="B4" s="11"/>
      <c r="C4" s="11">
        <f>B4*(1+C3)</f>
        <v>0</v>
      </c>
      <c r="D4" s="11">
        <f t="shared" ref="D4:M4" si="1">C4*(1+D3)</f>
        <v>0</v>
      </c>
      <c r="E4" s="11">
        <f t="shared" si="1"/>
        <v>0</v>
      </c>
      <c r="F4" s="11">
        <f t="shared" si="1"/>
        <v>0</v>
      </c>
      <c r="G4" s="11">
        <f t="shared" si="1"/>
        <v>0</v>
      </c>
      <c r="H4" s="11">
        <f t="shared" si="1"/>
        <v>0</v>
      </c>
      <c r="I4" s="11">
        <f t="shared" si="1"/>
        <v>0</v>
      </c>
      <c r="J4" s="11">
        <f t="shared" si="1"/>
        <v>0</v>
      </c>
      <c r="K4" s="11">
        <f t="shared" si="1"/>
        <v>0</v>
      </c>
      <c r="L4" s="11">
        <f t="shared" si="1"/>
        <v>0</v>
      </c>
      <c r="M4" s="11">
        <f t="shared" si="1"/>
        <v>0</v>
      </c>
    </row>
    <row r="5" spans="1:13" s="1" customFormat="1">
      <c r="A5" s="4" t="s">
        <v>54</v>
      </c>
      <c r="B5" s="10" t="e">
        <f>B6/B4</f>
        <v>#DIV/0!</v>
      </c>
      <c r="C5" s="10">
        <f>IF(C1&gt;$B$35,$M$5,$M$5-(($M$5-$B$5)/$B$35)*($B$35-C1))</f>
        <v>0</v>
      </c>
      <c r="D5" s="10">
        <f t="shared" ref="D5:L5" si="2">IF(D1&gt;$B$35,$M$5,$M$5-(($M$5-$B$5)/$B$35)*($B$35-D1))</f>
        <v>0</v>
      </c>
      <c r="E5" s="10">
        <f t="shared" si="2"/>
        <v>0</v>
      </c>
      <c r="F5" s="10">
        <f t="shared" si="2"/>
        <v>0</v>
      </c>
      <c r="G5" s="10">
        <f t="shared" si="2"/>
        <v>0</v>
      </c>
      <c r="H5" s="10">
        <f t="shared" si="2"/>
        <v>0</v>
      </c>
      <c r="I5" s="10">
        <f t="shared" si="2"/>
        <v>0</v>
      </c>
      <c r="J5" s="10">
        <f t="shared" si="2"/>
        <v>0</v>
      </c>
      <c r="K5" s="10">
        <f t="shared" si="2"/>
        <v>0</v>
      </c>
      <c r="L5" s="10">
        <f t="shared" si="2"/>
        <v>0</v>
      </c>
      <c r="M5" s="19">
        <f>'Input and sensitivity'!B6</f>
        <v>0</v>
      </c>
    </row>
    <row r="6" spans="1:13">
      <c r="A6" s="4" t="s">
        <v>53</v>
      </c>
      <c r="B6" s="11"/>
      <c r="C6" s="11">
        <f>C5*C4</f>
        <v>0</v>
      </c>
      <c r="D6" s="11">
        <f t="shared" ref="D6:L6" si="3">D5*D4</f>
        <v>0</v>
      </c>
      <c r="E6" s="11">
        <f t="shared" si="3"/>
        <v>0</v>
      </c>
      <c r="F6" s="11">
        <f t="shared" si="3"/>
        <v>0</v>
      </c>
      <c r="G6" s="11">
        <f t="shared" si="3"/>
        <v>0</v>
      </c>
      <c r="H6" s="11">
        <f t="shared" si="3"/>
        <v>0</v>
      </c>
      <c r="I6" s="11">
        <f t="shared" si="3"/>
        <v>0</v>
      </c>
      <c r="J6" s="11">
        <f t="shared" si="3"/>
        <v>0</v>
      </c>
      <c r="K6" s="11">
        <f t="shared" si="3"/>
        <v>0</v>
      </c>
      <c r="L6" s="11">
        <f t="shared" si="3"/>
        <v>0</v>
      </c>
      <c r="M6" s="20">
        <f t="shared" ref="M6" si="4">M5*M4</f>
        <v>0</v>
      </c>
    </row>
    <row r="7" spans="1:13" s="1" customFormat="1">
      <c r="A7" s="4" t="s">
        <v>28</v>
      </c>
      <c r="B7" s="12">
        <f>'Input and sensitivity'!B14</f>
        <v>0</v>
      </c>
      <c r="C7" s="10">
        <f>$B$7</f>
        <v>0</v>
      </c>
      <c r="D7" s="10">
        <f t="shared" ref="D7:M7" si="5">$B$7</f>
        <v>0</v>
      </c>
      <c r="E7" s="10">
        <f t="shared" si="5"/>
        <v>0</v>
      </c>
      <c r="F7" s="10">
        <f t="shared" si="5"/>
        <v>0</v>
      </c>
      <c r="G7" s="10">
        <f t="shared" si="5"/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</row>
    <row r="8" spans="1:13">
      <c r="A8" s="4" t="s">
        <v>4</v>
      </c>
      <c r="B8" s="11">
        <f>B6*(1-B7)</f>
        <v>0</v>
      </c>
      <c r="C8" s="11">
        <f>C6*(1-C7)</f>
        <v>0</v>
      </c>
      <c r="D8" s="11">
        <f t="shared" ref="D8:L8" si="6">D6*(1-D7)</f>
        <v>0</v>
      </c>
      <c r="E8" s="11">
        <f t="shared" si="6"/>
        <v>0</v>
      </c>
      <c r="F8" s="11">
        <f t="shared" si="6"/>
        <v>0</v>
      </c>
      <c r="G8" s="11">
        <f t="shared" si="6"/>
        <v>0</v>
      </c>
      <c r="H8" s="11">
        <f t="shared" si="6"/>
        <v>0</v>
      </c>
      <c r="I8" s="11">
        <f t="shared" si="6"/>
        <v>0</v>
      </c>
      <c r="J8" s="11">
        <f t="shared" si="6"/>
        <v>0</v>
      </c>
      <c r="K8" s="11">
        <f t="shared" si="6"/>
        <v>0</v>
      </c>
      <c r="L8" s="11">
        <f t="shared" si="6"/>
        <v>0</v>
      </c>
      <c r="M8" s="11">
        <f t="shared" ref="M8" si="7">M6*(1-M7)</f>
        <v>0</v>
      </c>
    </row>
    <row r="9" spans="1:13">
      <c r="A9" s="5" t="s">
        <v>26</v>
      </c>
      <c r="C9" s="4">
        <f>IF(C32=0,0,IF(C4&gt;B4,(C4-B4)/C32,0))</f>
        <v>0</v>
      </c>
      <c r="D9" s="4">
        <f>IF(D32=0,0,(D4-C4)/D32)</f>
        <v>0</v>
      </c>
      <c r="E9" s="4">
        <f t="shared" ref="E9:L9" si="8">IF(E32=0,0,(E4-D4)/E32)</f>
        <v>0</v>
      </c>
      <c r="F9" s="4">
        <f t="shared" si="8"/>
        <v>0</v>
      </c>
      <c r="G9" s="4">
        <f t="shared" si="8"/>
        <v>0</v>
      </c>
      <c r="H9" s="4">
        <f t="shared" si="8"/>
        <v>0</v>
      </c>
      <c r="I9" s="4">
        <f t="shared" si="8"/>
        <v>0</v>
      </c>
      <c r="J9" s="4">
        <f t="shared" si="8"/>
        <v>0</v>
      </c>
      <c r="K9" s="4">
        <f t="shared" si="8"/>
        <v>0</v>
      </c>
      <c r="L9" s="4">
        <f t="shared" si="8"/>
        <v>0</v>
      </c>
      <c r="M9" s="4">
        <f>IF(M3&gt;0,(M3/M34)*M8,0)</f>
        <v>0</v>
      </c>
    </row>
    <row r="10" spans="1:13">
      <c r="A10" s="6" t="s">
        <v>5</v>
      </c>
      <c r="B10" s="6">
        <f>B8-B9</f>
        <v>0</v>
      </c>
      <c r="C10" s="6">
        <f>C8-C9</f>
        <v>0</v>
      </c>
      <c r="D10" s="6">
        <f t="shared" ref="D10:L10" si="9">D8-D9</f>
        <v>0</v>
      </c>
      <c r="E10" s="6">
        <f t="shared" si="9"/>
        <v>0</v>
      </c>
      <c r="F10" s="6">
        <f t="shared" si="9"/>
        <v>0</v>
      </c>
      <c r="G10" s="6">
        <f t="shared" si="9"/>
        <v>0</v>
      </c>
      <c r="H10" s="6">
        <f t="shared" si="9"/>
        <v>0</v>
      </c>
      <c r="I10" s="6">
        <f t="shared" si="9"/>
        <v>0</v>
      </c>
      <c r="J10" s="6">
        <f t="shared" si="9"/>
        <v>0</v>
      </c>
      <c r="K10" s="6">
        <f t="shared" si="9"/>
        <v>0</v>
      </c>
      <c r="L10" s="6">
        <f t="shared" si="9"/>
        <v>0</v>
      </c>
      <c r="M10" s="6">
        <f t="shared" ref="M10" si="10">M8-M9</f>
        <v>0</v>
      </c>
    </row>
    <row r="12" spans="1:13" s="3" customFormat="1">
      <c r="A12" s="2" t="s">
        <v>6</v>
      </c>
      <c r="B12" s="13">
        <f>'Input and sensitivity'!B11</f>
        <v>0</v>
      </c>
      <c r="C12" s="3">
        <f>B12</f>
        <v>0</v>
      </c>
      <c r="D12" s="3">
        <f>C12</f>
        <v>0</v>
      </c>
      <c r="E12" s="3">
        <f>D12</f>
        <v>0</v>
      </c>
      <c r="F12" s="3">
        <f>E12</f>
        <v>0</v>
      </c>
      <c r="G12" s="3">
        <f>F12</f>
        <v>0</v>
      </c>
      <c r="H12" s="3">
        <f>G12-($G$12-$M$12)/5</f>
        <v>0</v>
      </c>
      <c r="I12" s="3">
        <f t="shared" ref="I12:L12" si="11">H12-($G$12-$M$12)/5</f>
        <v>0</v>
      </c>
      <c r="J12" s="3">
        <f t="shared" si="11"/>
        <v>0</v>
      </c>
      <c r="K12" s="3">
        <f t="shared" si="11"/>
        <v>0</v>
      </c>
      <c r="L12" s="3">
        <f t="shared" si="11"/>
        <v>0</v>
      </c>
      <c r="M12" s="13">
        <f>'Input and sensitivity'!B12</f>
        <v>0</v>
      </c>
    </row>
    <row r="13" spans="1:13" s="2" customFormat="1">
      <c r="A13" s="2" t="s">
        <v>7</v>
      </c>
      <c r="C13" s="2">
        <f>1/(1+C12)^1</f>
        <v>1</v>
      </c>
      <c r="D13" s="2">
        <f>1/(1+D12)^2</f>
        <v>1</v>
      </c>
      <c r="E13" s="2">
        <f>1/(1+E12)^3</f>
        <v>1</v>
      </c>
      <c r="F13" s="2">
        <f>1/(1+F12)^4</f>
        <v>1</v>
      </c>
      <c r="G13" s="2">
        <f>1/(1+G12)^5</f>
        <v>1</v>
      </c>
      <c r="H13" s="2">
        <f>1/(1+H12)^6</f>
        <v>1</v>
      </c>
      <c r="I13" s="2">
        <f>1/(1+I12)^7</f>
        <v>1</v>
      </c>
      <c r="J13" s="2">
        <f>1/(1+J12)^8</f>
        <v>1</v>
      </c>
      <c r="K13" s="2">
        <f>1/(1+K12)^9</f>
        <v>1</v>
      </c>
      <c r="L13" s="2">
        <f>1/(1+L12)^10</f>
        <v>1</v>
      </c>
    </row>
    <row r="14" spans="1:13">
      <c r="A14" s="6" t="s">
        <v>21</v>
      </c>
      <c r="B14" s="6"/>
      <c r="C14" s="6">
        <f>C13*C10</f>
        <v>0</v>
      </c>
      <c r="D14" s="6">
        <f t="shared" ref="D14:L14" si="12">D13*D10</f>
        <v>0</v>
      </c>
      <c r="E14" s="6">
        <f t="shared" si="12"/>
        <v>0</v>
      </c>
      <c r="F14" s="6">
        <f t="shared" si="12"/>
        <v>0</v>
      </c>
      <c r="G14" s="6">
        <f t="shared" si="12"/>
        <v>0</v>
      </c>
      <c r="H14" s="6">
        <f t="shared" si="12"/>
        <v>0</v>
      </c>
      <c r="I14" s="6">
        <f t="shared" si="12"/>
        <v>0</v>
      </c>
      <c r="J14" s="6">
        <f t="shared" si="12"/>
        <v>0</v>
      </c>
      <c r="K14" s="6">
        <f t="shared" si="12"/>
        <v>0</v>
      </c>
      <c r="L14" s="6">
        <f t="shared" si="12"/>
        <v>0</v>
      </c>
      <c r="M14" s="6">
        <f t="shared" ref="M14" si="13">M13*M10</f>
        <v>0</v>
      </c>
    </row>
    <row r="16" spans="1:13">
      <c r="A16" s="4" t="s">
        <v>8</v>
      </c>
      <c r="B16" s="4">
        <f>M10</f>
        <v>0</v>
      </c>
    </row>
    <row r="17" spans="1:13">
      <c r="A17" s="4" t="s">
        <v>9</v>
      </c>
      <c r="B17" s="3">
        <f>M12</f>
        <v>0</v>
      </c>
    </row>
    <row r="18" spans="1:13">
      <c r="A18" s="4" t="s">
        <v>10</v>
      </c>
      <c r="B18" s="4" t="e">
        <f>B16/(B17-M3)</f>
        <v>#DIV/0!</v>
      </c>
    </row>
    <row r="19" spans="1:13">
      <c r="A19" s="4" t="s">
        <v>11</v>
      </c>
      <c r="B19" s="4" t="e">
        <f>B18*L13</f>
        <v>#DIV/0!</v>
      </c>
      <c r="C19" s="24" t="e">
        <f>B19/B21</f>
        <v>#DIV/0!</v>
      </c>
    </row>
    <row r="20" spans="1:13">
      <c r="A20" s="4" t="s">
        <v>31</v>
      </c>
      <c r="B20" s="4">
        <f>SUM(C14:L14)</f>
        <v>0</v>
      </c>
      <c r="C20" s="24" t="e">
        <f>B20/B21</f>
        <v>#DIV/0!</v>
      </c>
    </row>
    <row r="21" spans="1:13">
      <c r="A21" s="4" t="s">
        <v>19</v>
      </c>
      <c r="B21" s="4" t="e">
        <f>B20+B19</f>
        <v>#DIV/0!</v>
      </c>
    </row>
    <row r="22" spans="1:13">
      <c r="A22" s="5" t="s">
        <v>22</v>
      </c>
      <c r="B22" s="11"/>
    </row>
    <row r="23" spans="1:13">
      <c r="A23" s="5" t="s">
        <v>23</v>
      </c>
      <c r="B23" s="11"/>
    </row>
    <row r="24" spans="1:13">
      <c r="A24" s="4" t="s">
        <v>20</v>
      </c>
      <c r="B24" s="11" t="e">
        <f>B21+B22+B23</f>
        <v>#DIV/0!</v>
      </c>
    </row>
    <row r="25" spans="1:13">
      <c r="A25" s="5" t="s">
        <v>24</v>
      </c>
      <c r="B25" s="11"/>
    </row>
    <row r="26" spans="1:13">
      <c r="A26" s="5" t="s">
        <v>25</v>
      </c>
      <c r="B26" s="11"/>
    </row>
    <row r="27" spans="1:13">
      <c r="A27" s="4" t="s">
        <v>12</v>
      </c>
      <c r="B27" s="11" t="e">
        <f>B24-B25-B26</f>
        <v>#DIV/0!</v>
      </c>
    </row>
    <row r="28" spans="1:13">
      <c r="A28" s="5" t="s">
        <v>27</v>
      </c>
      <c r="B28" s="11"/>
    </row>
    <row r="29" spans="1:13">
      <c r="A29" s="4" t="s">
        <v>13</v>
      </c>
      <c r="B29" s="9" t="e">
        <f>B27/B28*1000000</f>
        <v>#DIV/0!</v>
      </c>
    </row>
    <row r="31" spans="1:13">
      <c r="A31" s="6" t="s">
        <v>14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s="11" customFormat="1">
      <c r="A32" s="11" t="s">
        <v>32</v>
      </c>
      <c r="B32" s="16" t="e">
        <f>B4/B33</f>
        <v>#DIV/0!</v>
      </c>
      <c r="C32" s="16">
        <f>'Input and sensitivity'!B8</f>
        <v>0</v>
      </c>
      <c r="D32" s="16">
        <f>C32</f>
        <v>0</v>
      </c>
      <c r="E32" s="16">
        <f>'Input and sensitivity'!B9</f>
        <v>0</v>
      </c>
      <c r="F32" s="16">
        <f>E32</f>
        <v>0</v>
      </c>
      <c r="G32" s="16">
        <f>F32</f>
        <v>0</v>
      </c>
      <c r="H32" s="16">
        <f>'Input and sensitivity'!B10</f>
        <v>0</v>
      </c>
      <c r="I32" s="16">
        <f>H32</f>
        <v>0</v>
      </c>
      <c r="J32" s="16">
        <f>I32</f>
        <v>0</v>
      </c>
      <c r="K32" s="16">
        <f>J32</f>
        <v>0</v>
      </c>
      <c r="L32" s="16">
        <f>K32</f>
        <v>0</v>
      </c>
      <c r="M32" s="16"/>
    </row>
    <row r="33" spans="1:13">
      <c r="A33" s="4" t="s">
        <v>15</v>
      </c>
      <c r="B33" s="11"/>
      <c r="C33" s="4">
        <f t="shared" ref="C33:L33" si="14">B33+C9</f>
        <v>0</v>
      </c>
      <c r="D33" s="4">
        <f t="shared" si="14"/>
        <v>0</v>
      </c>
      <c r="E33" s="4">
        <f t="shared" si="14"/>
        <v>0</v>
      </c>
      <c r="F33" s="4">
        <f t="shared" si="14"/>
        <v>0</v>
      </c>
      <c r="G33" s="4">
        <f t="shared" si="14"/>
        <v>0</v>
      </c>
      <c r="H33" s="4">
        <f t="shared" si="14"/>
        <v>0</v>
      </c>
      <c r="I33" s="4">
        <f t="shared" si="14"/>
        <v>0</v>
      </c>
      <c r="J33" s="4">
        <f t="shared" si="14"/>
        <v>0</v>
      </c>
      <c r="K33" s="4">
        <f t="shared" si="14"/>
        <v>0</v>
      </c>
      <c r="L33" s="4">
        <f t="shared" si="14"/>
        <v>0</v>
      </c>
    </row>
    <row r="34" spans="1:13" s="3" customFormat="1">
      <c r="A34" s="4" t="s">
        <v>16</v>
      </c>
      <c r="B34" s="3" t="e">
        <f t="shared" ref="B34:L34" si="15">B8/B33</f>
        <v>#DIV/0!</v>
      </c>
      <c r="C34" s="3" t="e">
        <f t="shared" si="15"/>
        <v>#DIV/0!</v>
      </c>
      <c r="D34" s="3" t="e">
        <f t="shared" si="15"/>
        <v>#DIV/0!</v>
      </c>
      <c r="E34" s="3" t="e">
        <f t="shared" si="15"/>
        <v>#DIV/0!</v>
      </c>
      <c r="F34" s="3" t="e">
        <f t="shared" si="15"/>
        <v>#DIV/0!</v>
      </c>
      <c r="G34" s="3" t="e">
        <f t="shared" si="15"/>
        <v>#DIV/0!</v>
      </c>
      <c r="H34" s="3" t="e">
        <f t="shared" si="15"/>
        <v>#DIV/0!</v>
      </c>
      <c r="I34" s="3" t="e">
        <f t="shared" si="15"/>
        <v>#DIV/0!</v>
      </c>
      <c r="J34" s="3" t="e">
        <f t="shared" si="15"/>
        <v>#DIV/0!</v>
      </c>
      <c r="K34" s="3" t="e">
        <f t="shared" si="15"/>
        <v>#DIV/0!</v>
      </c>
      <c r="L34" s="3" t="e">
        <f t="shared" si="15"/>
        <v>#DIV/0!</v>
      </c>
      <c r="M34" s="13">
        <f>'Input and sensitivity'!B13</f>
        <v>0</v>
      </c>
    </row>
    <row r="35" spans="1:13">
      <c r="A35" s="4" t="s">
        <v>29</v>
      </c>
      <c r="B35" s="4">
        <f>'Input and sensitivity'!B7</f>
        <v>0</v>
      </c>
    </row>
    <row r="36" spans="1:13">
      <c r="B36" s="3"/>
    </row>
    <row r="37" spans="1:13">
      <c r="B37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 and sensitivity</vt:lpstr>
      <vt:lpstr>Valuation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He</dc:creator>
  <cp:lastModifiedBy>Alan He</cp:lastModifiedBy>
  <dcterms:created xsi:type="dcterms:W3CDTF">2023-03-13T10:43:09Z</dcterms:created>
  <dcterms:modified xsi:type="dcterms:W3CDTF">2026-02-25T09:09:28Z</dcterms:modified>
</cp:coreProperties>
</file>